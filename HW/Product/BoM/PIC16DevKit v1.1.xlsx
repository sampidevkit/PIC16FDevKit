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DungLiem92\PIC16DevKit\HW\Production\BoM\"/>
    </mc:Choice>
  </mc:AlternateContent>
  <xr:revisionPtr revIDLastSave="0" documentId="13_ncr:1_{632C7168-FA7D-4D55-BE2F-B0E1DA43197A}" xr6:coauthVersionLast="45" xr6:coauthVersionMax="45" xr10:uidLastSave="{00000000-0000-0000-0000-000000000000}"/>
  <bookViews>
    <workbookView xWindow="-20610" yWindow="-90" windowWidth="20730" windowHeight="11760" xr2:uid="{AE049395-EAC9-48BF-A1F1-967417FB1D42}"/>
  </bookViews>
  <sheets>
    <sheet name="BO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E2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H23" i="1" l="1"/>
</calcChain>
</file>

<file path=xl/sharedStrings.xml><?xml version="1.0" encoding="utf-8"?>
<sst xmlns="http://schemas.openxmlformats.org/spreadsheetml/2006/main" count="116" uniqueCount="105">
  <si>
    <t>Quantity</t>
  </si>
  <si>
    <t>References</t>
  </si>
  <si>
    <t>Unit Cost</t>
  </si>
  <si>
    <t>C2</t>
  </si>
  <si>
    <t>C6</t>
  </si>
  <si>
    <t>C7</t>
  </si>
  <si>
    <t>U1</t>
  </si>
  <si>
    <t>U2</t>
  </si>
  <si>
    <t>U3</t>
  </si>
  <si>
    <t>D1</t>
  </si>
  <si>
    <t>D2</t>
  </si>
  <si>
    <t>D3</t>
  </si>
  <si>
    <t>F1</t>
  </si>
  <si>
    <t>J1</t>
  </si>
  <si>
    <t>J3</t>
  </si>
  <si>
    <t>J6</t>
  </si>
  <si>
    <t>TP4</t>
  </si>
  <si>
    <t>No</t>
  </si>
  <si>
    <t>Part Number</t>
  </si>
  <si>
    <t>Description</t>
  </si>
  <si>
    <t>Manufacturer</t>
  </si>
  <si>
    <t>CL10B104KB8NNNL</t>
  </si>
  <si>
    <t>Samsung</t>
  </si>
  <si>
    <t>CAP CER 0.1UF 50V X7R 0603</t>
  </si>
  <si>
    <t>$0.01280</t>
  </si>
  <si>
    <t>TPSB107K006R0250</t>
  </si>
  <si>
    <t>AVX</t>
  </si>
  <si>
    <t>CAP TANT 100UF 10% 6.3V 1411</t>
  </si>
  <si>
    <t>TAJB476K010RNJ</t>
  </si>
  <si>
    <t>CAP TANT 47UF 10% 10V 1411</t>
  </si>
  <si>
    <t>GRM21BR61A226ME51L</t>
  </si>
  <si>
    <t>Murata</t>
  </si>
  <si>
    <t>CAP CER 22UF 10V X5R 0805</t>
  </si>
  <si>
    <t>CL21A106KOQNNNG</t>
  </si>
  <si>
    <t>CAP CER 10UF 16V X5R 0805</t>
  </si>
  <si>
    <t>AC0603JR-0747KL</t>
  </si>
  <si>
    <t>Yageo</t>
  </si>
  <si>
    <t>RES SMD 47K OHM 5% 1/10W 0603</t>
  </si>
  <si>
    <t>AC0603JR-071KL</t>
  </si>
  <si>
    <t>RES SMD 1K OHM 5% 1/10W 0603</t>
  </si>
  <si>
    <t>MIC5353-3.3YMT-TR</t>
  </si>
  <si>
    <t>Microchip</t>
  </si>
  <si>
    <t>IC REG LINEAR 3.3V 500MA 6TMLF</t>
  </si>
  <si>
    <t>PIC32MM0064GPM028-I/M6</t>
  </si>
  <si>
    <t>IC MCU 32BIT 64KB FLASH 28UQFN</t>
  </si>
  <si>
    <t>PIC16LF18857-I/ML</t>
  </si>
  <si>
    <t>IC MCU 8BIT 56KB FLASH 28QFN</t>
  </si>
  <si>
    <t>150060BS75000</t>
  </si>
  <si>
    <t>Würth Elektronik</t>
  </si>
  <si>
    <t>LED BLUE CLEAR 0603 SMD</t>
  </si>
  <si>
    <t>150060RS75000</t>
  </si>
  <si>
    <t>LED RED CLEAR 0603 SMD</t>
  </si>
  <si>
    <t>LED GREEN CLEAR 0603 SMD</t>
  </si>
  <si>
    <t>150060GS75000</t>
  </si>
  <si>
    <t>PTS815 SJK 250 SMTR LFS</t>
  </si>
  <si>
    <t>TACT 4.2 X 3.2, 2.5 MM H, 250GF,</t>
  </si>
  <si>
    <t>C&amp;K</t>
  </si>
  <si>
    <t>BT1, BT2</t>
  </si>
  <si>
    <t>MF-MSMF050-2</t>
  </si>
  <si>
    <t>PTC RESET FUSE 15V 500MA 1812</t>
  </si>
  <si>
    <t>Bourns</t>
  </si>
  <si>
    <t>ZX62-AB-5PA(31)</t>
  </si>
  <si>
    <t>Hirose</t>
  </si>
  <si>
    <t>CONN RCPT USB2.0 MICRO AB SMD RA</t>
  </si>
  <si>
    <t>S2751-46R</t>
  </si>
  <si>
    <t>Harwin</t>
  </si>
  <si>
    <t>PC TEST POINT NATURAL</t>
  </si>
  <si>
    <t>J4, J5</t>
  </si>
  <si>
    <t>SSQ-110-03-T-S</t>
  </si>
  <si>
    <t>Samtec</t>
  </si>
  <si>
    <t>CONN RCPT 10POS 0.1 TIN PCB</t>
  </si>
  <si>
    <t>SSQ-108-03-T-S</t>
  </si>
  <si>
    <t>CONN RCPT 8POS 0.1 TIN PCB</t>
  </si>
  <si>
    <t>SSQ-107-03-T-S</t>
  </si>
  <si>
    <t>CONN RCPT 7POS 0.1 TIN PCB</t>
  </si>
  <si>
    <t>Cost</t>
  </si>
  <si>
    <t>Total Component</t>
  </si>
  <si>
    <t>Total Cost</t>
  </si>
  <si>
    <t>1</t>
  </si>
  <si>
    <t>2</t>
  </si>
  <si>
    <t>6</t>
  </si>
  <si>
    <t>7</t>
  </si>
  <si>
    <t>8</t>
  </si>
  <si>
    <t>3</t>
  </si>
  <si>
    <t>5</t>
  </si>
  <si>
    <t>4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</si>
  <si>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</si>
  <si>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</si>
  <si>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</si>
  <si>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</si>
  <si>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</si>
  <si>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</si>
  <si>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</si>
  <si>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</si>
  <si>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</si>
  <si>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</si>
  <si>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</si>
  <si>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</si>
  <si>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C8, C12, C14</t>
  </si>
  <si>
    <t>21</t>
  </si>
  <si>
    <t>PCB</t>
  </si>
  <si>
    <t>AllPCB</t>
  </si>
  <si>
    <t>R3, R5, R11, R12, R14, R15</t>
  </si>
  <si>
    <t>R4, R7, R8, R9</t>
  </si>
  <si>
    <t>C1, C3, C4, C5, C9, C10, C11, C13, C15,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</si>
</sst>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000EE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icrochip-technology/PIC32MM0064GPM028-I-M6/8037777" TargetMode="External"/><Relationship Id="rId13" Type="http://schemas.openxmlformats.org/officeDocument/2006/relationships/hyperlink" Target="https://www.digikey.com/en/products/detail/c-k/PTS815-SJK-250-SMTR-LFS/9947849" TargetMode="External"/><Relationship Id="rId18" Type="http://schemas.openxmlformats.org/officeDocument/2006/relationships/hyperlink" Target="https://www.digikey.com/en/products/detail/samtec-inc/SSQ-108-03-T-S/1111950" TargetMode="External"/><Relationship Id="rId3" Type="http://schemas.openxmlformats.org/officeDocument/2006/relationships/hyperlink" Target="https://www.digikey.com/en/products/detail/avx-corporation/TAJB476K010RNJ/563798" TargetMode="External"/><Relationship Id="rId7" Type="http://schemas.openxmlformats.org/officeDocument/2006/relationships/hyperlink" Target="https://www.digikey.com/en/products/detail/yageo/AC0603JR-0747KL/5896464" TargetMode="External"/><Relationship Id="rId12" Type="http://schemas.openxmlformats.org/officeDocument/2006/relationships/hyperlink" Target="https://www.digikey.com/en/products/detail/w%C3%BCrth-elektronik/150060GS75000/4489898" TargetMode="External"/><Relationship Id="rId17" Type="http://schemas.openxmlformats.org/officeDocument/2006/relationships/hyperlink" Target="https://www.digikey.com/en/products/detail/samtec-inc/SSQ-110-03-T-S/1111948" TargetMode="External"/><Relationship Id="rId2" Type="http://schemas.openxmlformats.org/officeDocument/2006/relationships/hyperlink" Target="https://www.digikey.com/en/products/detail/avx-corporation/TPSB107K006R0250/809530" TargetMode="External"/><Relationship Id="rId16" Type="http://schemas.openxmlformats.org/officeDocument/2006/relationships/hyperlink" Target="https://www.digikey.com/en/products/detail/harwin-inc/S2751-46R/5250499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samsung-electro-mechanics/CL10B104KB8NNNL/3894274" TargetMode="External"/><Relationship Id="rId6" Type="http://schemas.openxmlformats.org/officeDocument/2006/relationships/hyperlink" Target="https://www.digikey.com/en/products/detail/microchip-technology/MIC5353-3-3YMT-TR/2297014" TargetMode="External"/><Relationship Id="rId11" Type="http://schemas.openxmlformats.org/officeDocument/2006/relationships/hyperlink" Target="https://www.digikey.com/en/products/detail/w%C3%BCrth-elektronik/150060RS75000/4489901" TargetMode="External"/><Relationship Id="rId5" Type="http://schemas.openxmlformats.org/officeDocument/2006/relationships/hyperlink" Target="https://www.digikey.com/en/products/detail/yageo/AC0603JR-071KL/5896388" TargetMode="External"/><Relationship Id="rId15" Type="http://schemas.openxmlformats.org/officeDocument/2006/relationships/hyperlink" Target="https://www.digikey.com/en/products/detail/hirose-electric-co-ltd/ZX62-AB-5PA-31/5983064" TargetMode="External"/><Relationship Id="rId10" Type="http://schemas.openxmlformats.org/officeDocument/2006/relationships/hyperlink" Target="https://www.digikey.com/en/products/detail/w%C3%BCrth-elektronik/150060BS75000/4489895" TargetMode="External"/><Relationship Id="rId19" Type="http://schemas.openxmlformats.org/officeDocument/2006/relationships/hyperlink" Target="https://www.digikey.com/en/products/detail/samtec-inc/SSQ-107-03-T-S/1111951" TargetMode="External"/><Relationship Id="rId4" Type="http://schemas.openxmlformats.org/officeDocument/2006/relationships/hyperlink" Target="https://www.digikey.com/en/products/detail/samsung-electro-mechanics/CL21A106KOQNNNG/3894417" TargetMode="External"/><Relationship Id="rId9" Type="http://schemas.openxmlformats.org/officeDocument/2006/relationships/hyperlink" Target="https://www.digikey.com/en/products/detail/microchip-technology/PIC16LF18857-I-ML/6098428" TargetMode="External"/><Relationship Id="rId14" Type="http://schemas.openxmlformats.org/officeDocument/2006/relationships/hyperlink" Target="https://www.digikey.com/en/products/detail/bourns-inc/MF-MSMF050-2/662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4E06-EC53-4CF2-BD3B-00DC43DA4E8B}">
  <dimension ref="A1:H23"/>
  <sheetViews>
    <sheetView tabSelected="1" workbookViewId="0">
      <selection activeCell="F4" sqref="F4"/>
    </sheetView>
  </sheetViews>
  <sheetFormatPr defaultRowHeight="15.75" x14ac:dyDescent="0.25"/>
  <cols>
    <col min="1" max="1" width="3.85546875" style="1" bestFit="1" customWidth="1"/>
    <col min="2" max="2" width="29.7109375" style="1" bestFit="1" customWidth="1"/>
    <col min="3" max="3" width="16" style="1" bestFit="1" customWidth="1"/>
    <col min="4" max="4" width="43.28515625" style="1" bestFit="1" customWidth="1"/>
    <col min="5" max="5" width="9.28515625" style="1" bestFit="1" customWidth="1"/>
    <col min="6" max="6" width="44" style="1" bestFit="1" customWidth="1"/>
    <col min="7" max="7" width="10" style="1" bestFit="1" customWidth="1"/>
    <col min="8" max="8" width="9.5703125" style="1" bestFit="1" customWidth="1"/>
    <col min="9" max="16384" width="9.140625" style="1"/>
  </cols>
  <sheetData>
    <row r="1" spans="1:8" s="14" customFormat="1" x14ac:dyDescent="0.25">
      <c r="A1" s="12" t="s">
        <v>17</v>
      </c>
      <c r="B1" s="12" t="s">
        <v>18</v>
      </c>
      <c r="C1" s="12" t="s">
        <v>20</v>
      </c>
      <c r="D1" s="12" t="s">
        <v>19</v>
      </c>
      <c r="E1" s="12" t="s">
        <v>0</v>
      </c>
      <c r="F1" s="12" t="s">
        <v>1</v>
      </c>
      <c r="G1" s="12" t="s">
        <v>2</v>
      </c>
      <c r="H1" s="13" t="s">
        <v>75</v>
      </c>
    </row>
    <row r="2" spans="1:8" x14ac:dyDescent="0.25">
      <c r="A2" s="3" t="s">
        <v>78</v>
      </c>
      <c r="B2" s="10" t="s">
        <v>21</v>
      </c>
      <c r="C2" s="3" t="s">
        <v>22</v>
      </c>
      <c r="D2" s="8" t="s">
        <v>23</v>
      </c>
      <c r="E2" s="4">
        <v>10</v>
      </c>
      <c r="F2" s="8" t="s">
        <v>104</v>
      </c>
      <c r="G2" s="7" t="s">
        <v>24</v>
      </c>
      <c r="H2" s="7">
        <f>G2*E2</f>
        <v>0.128</v>
      </c>
    </row>
    <row r="3" spans="1:8" x14ac:dyDescent="0.25">
      <c r="A3" s="3" t="s">
        <v>79</v>
      </c>
      <c r="B3" s="10" t="s">
        <v>25</v>
      </c>
      <c r="C3" s="3" t="s">
        <v>26</v>
      </c>
      <c r="D3" s="8" t="s">
        <v>27</v>
      </c>
      <c r="E3" s="4">
        <v>1</v>
      </c>
      <c r="F3" s="8" t="s">
        <v>3</v>
      </c>
      <c r="G3" s="7">
        <v>0.216</v>
      </c>
      <c r="H3" s="7">
        <f t="shared" ref="H3:H22" si="0">G3*E3</f>
        <v>0.216</v>
      </c>
    </row>
    <row r="4" spans="1:8" x14ac:dyDescent="0.25">
      <c r="A4" s="3" t="s">
        <v>83</v>
      </c>
      <c r="B4" s="11" t="s">
        <v>30</v>
      </c>
      <c r="C4" s="2" t="s">
        <v>31</v>
      </c>
      <c r="D4" s="9" t="s">
        <v>32</v>
      </c>
      <c r="E4" s="4">
        <v>1</v>
      </c>
      <c r="F4" s="8" t="s">
        <v>4</v>
      </c>
      <c r="G4" s="7">
        <v>0.1201</v>
      </c>
      <c r="H4" s="7">
        <f t="shared" si="0"/>
        <v>0.1201</v>
      </c>
    </row>
    <row r="5" spans="1:8" x14ac:dyDescent="0.25">
      <c r="A5" s="3" t="s">
        <v>85</v>
      </c>
      <c r="B5" s="10" t="s">
        <v>28</v>
      </c>
      <c r="C5" s="3" t="s">
        <v>26</v>
      </c>
      <c r="D5" s="9" t="s">
        <v>29</v>
      </c>
      <c r="E5" s="4">
        <v>1</v>
      </c>
      <c r="F5" s="8" t="s">
        <v>5</v>
      </c>
      <c r="G5" s="7">
        <v>0.156</v>
      </c>
      <c r="H5" s="7">
        <f t="shared" si="0"/>
        <v>0.156</v>
      </c>
    </row>
    <row r="6" spans="1:8" x14ac:dyDescent="0.25">
      <c r="A6" s="3" t="s">
        <v>84</v>
      </c>
      <c r="B6" s="10" t="s">
        <v>33</v>
      </c>
      <c r="C6" s="3" t="s">
        <v>22</v>
      </c>
      <c r="D6" s="9" t="s">
        <v>34</v>
      </c>
      <c r="E6" s="4">
        <v>3</v>
      </c>
      <c r="F6" s="8" t="s">
        <v>98</v>
      </c>
      <c r="G6" s="7">
        <v>3.6799999999999999E-2</v>
      </c>
      <c r="H6" s="7">
        <f t="shared" si="0"/>
        <v>0.1104</v>
      </c>
    </row>
    <row r="7" spans="1:8" x14ac:dyDescent="0.25">
      <c r="A7" s="3" t="s">
        <v>80</v>
      </c>
      <c r="B7" s="10" t="s">
        <v>35</v>
      </c>
      <c r="C7" s="3" t="s">
        <v>36</v>
      </c>
      <c r="D7" s="8" t="s">
        <v>37</v>
      </c>
      <c r="E7" s="4">
        <v>4</v>
      </c>
      <c r="F7" s="8" t="s">
        <v>103</v>
      </c>
      <c r="G7" s="7">
        <v>1.03E-2</v>
      </c>
      <c r="H7" s="7">
        <f t="shared" si="0"/>
        <v>4.1200000000000001E-2</v>
      </c>
    </row>
    <row r="8" spans="1:8" x14ac:dyDescent="0.25">
      <c r="A8" s="3" t="s">
        <v>81</v>
      </c>
      <c r="B8" s="10" t="s">
        <v>38</v>
      </c>
      <c r="C8" s="3" t="s">
        <v>36</v>
      </c>
      <c r="D8" s="8" t="s">
        <v>39</v>
      </c>
      <c r="E8" s="4">
        <v>6</v>
      </c>
      <c r="F8" s="8" t="s">
        <v>102</v>
      </c>
      <c r="G8" s="7">
        <v>8.5000000000000006E-3</v>
      </c>
      <c r="H8" s="7">
        <f t="shared" si="0"/>
        <v>5.1000000000000004E-2</v>
      </c>
    </row>
    <row r="9" spans="1:8" x14ac:dyDescent="0.25">
      <c r="A9" s="3" t="s">
        <v>82</v>
      </c>
      <c r="B9" s="10" t="s">
        <v>40</v>
      </c>
      <c r="C9" s="3" t="s">
        <v>41</v>
      </c>
      <c r="D9" s="9" t="s">
        <v>42</v>
      </c>
      <c r="E9" s="4">
        <v>1</v>
      </c>
      <c r="F9" s="8" t="s">
        <v>6</v>
      </c>
      <c r="G9" s="7">
        <v>0.26</v>
      </c>
      <c r="H9" s="7">
        <f t="shared" si="0"/>
        <v>0.26</v>
      </c>
    </row>
    <row r="10" spans="1:8" x14ac:dyDescent="0.25">
      <c r="A10" s="3" t="s">
        <v>86</v>
      </c>
      <c r="B10" s="10" t="s">
        <v>43</v>
      </c>
      <c r="C10" s="3" t="s">
        <v>41</v>
      </c>
      <c r="D10" s="8" t="s">
        <v>44</v>
      </c>
      <c r="E10" s="4">
        <v>1</v>
      </c>
      <c r="F10" s="8" t="s">
        <v>7</v>
      </c>
      <c r="G10" s="7">
        <v>1.46</v>
      </c>
      <c r="H10" s="7">
        <f t="shared" si="0"/>
        <v>1.46</v>
      </c>
    </row>
    <row r="11" spans="1:8" x14ac:dyDescent="0.25">
      <c r="A11" s="3" t="s">
        <v>87</v>
      </c>
      <c r="B11" s="10" t="s">
        <v>45</v>
      </c>
      <c r="C11" s="3" t="s">
        <v>41</v>
      </c>
      <c r="D11" s="9" t="s">
        <v>46</v>
      </c>
      <c r="E11" s="4">
        <v>1</v>
      </c>
      <c r="F11" s="8" t="s">
        <v>8</v>
      </c>
      <c r="G11" s="7">
        <v>1.22</v>
      </c>
      <c r="H11" s="7">
        <f t="shared" si="0"/>
        <v>1.22</v>
      </c>
    </row>
    <row r="12" spans="1:8" x14ac:dyDescent="0.25">
      <c r="A12" s="3" t="s">
        <v>88</v>
      </c>
      <c r="B12" s="10" t="s">
        <v>53</v>
      </c>
      <c r="C12" s="3" t="s">
        <v>48</v>
      </c>
      <c r="D12" s="8" t="s">
        <v>52</v>
      </c>
      <c r="E12" s="4">
        <v>1</v>
      </c>
      <c r="F12" s="8" t="s">
        <v>9</v>
      </c>
      <c r="G12" s="7">
        <v>0.114</v>
      </c>
      <c r="H12" s="7">
        <f t="shared" si="0"/>
        <v>0.114</v>
      </c>
    </row>
    <row r="13" spans="1:8" x14ac:dyDescent="0.25">
      <c r="A13" s="3" t="s">
        <v>89</v>
      </c>
      <c r="B13" s="10" t="s">
        <v>50</v>
      </c>
      <c r="C13" s="3" t="s">
        <v>48</v>
      </c>
      <c r="D13" s="8" t="s">
        <v>51</v>
      </c>
      <c r="E13" s="4">
        <v>1</v>
      </c>
      <c r="F13" s="8" t="s">
        <v>10</v>
      </c>
      <c r="G13" s="7">
        <v>0.114</v>
      </c>
      <c r="H13" s="7">
        <f t="shared" si="0"/>
        <v>0.114</v>
      </c>
    </row>
    <row r="14" spans="1:8" x14ac:dyDescent="0.25">
      <c r="A14" s="3" t="s">
        <v>90</v>
      </c>
      <c r="B14" s="10" t="s">
        <v>47</v>
      </c>
      <c r="C14" s="3" t="s">
        <v>48</v>
      </c>
      <c r="D14" s="8" t="s">
        <v>49</v>
      </c>
      <c r="E14" s="4">
        <v>1</v>
      </c>
      <c r="F14" s="8" t="s">
        <v>11</v>
      </c>
      <c r="G14" s="7">
        <v>0.125</v>
      </c>
      <c r="H14" s="7">
        <f t="shared" si="0"/>
        <v>0.125</v>
      </c>
    </row>
    <row r="15" spans="1:8" x14ac:dyDescent="0.25">
      <c r="A15" s="3" t="s">
        <v>91</v>
      </c>
      <c r="B15" s="10" t="s">
        <v>54</v>
      </c>
      <c r="C15" s="3" t="s">
        <v>56</v>
      </c>
      <c r="D15" s="9" t="s">
        <v>55</v>
      </c>
      <c r="E15" s="4">
        <v>2</v>
      </c>
      <c r="F15" s="8" t="s">
        <v>57</v>
      </c>
      <c r="G15" s="7">
        <v>0.1578</v>
      </c>
      <c r="H15" s="7">
        <f t="shared" si="0"/>
        <v>0.31559999999999999</v>
      </c>
    </row>
    <row r="16" spans="1:8" x14ac:dyDescent="0.25">
      <c r="A16" s="3" t="s">
        <v>92</v>
      </c>
      <c r="B16" s="10" t="s">
        <v>58</v>
      </c>
      <c r="C16" s="3" t="s">
        <v>60</v>
      </c>
      <c r="D16" s="9" t="s">
        <v>59</v>
      </c>
      <c r="E16" s="4">
        <v>1</v>
      </c>
      <c r="F16" s="8" t="s">
        <v>12</v>
      </c>
      <c r="G16" s="7">
        <v>0.25430000000000003</v>
      </c>
      <c r="H16" s="7">
        <f t="shared" si="0"/>
        <v>0.25430000000000003</v>
      </c>
    </row>
    <row r="17" spans="1:8" x14ac:dyDescent="0.25">
      <c r="A17" s="3" t="s">
        <v>93</v>
      </c>
      <c r="B17" s="10" t="s">
        <v>61</v>
      </c>
      <c r="C17" s="3" t="s">
        <v>62</v>
      </c>
      <c r="D17" s="8" t="s">
        <v>63</v>
      </c>
      <c r="E17" s="4">
        <v>1</v>
      </c>
      <c r="F17" s="8" t="s">
        <v>13</v>
      </c>
      <c r="G17" s="7">
        <v>0.62919999999999998</v>
      </c>
      <c r="H17" s="7">
        <f t="shared" si="0"/>
        <v>0.62919999999999998</v>
      </c>
    </row>
    <row r="18" spans="1:8" x14ac:dyDescent="0.25">
      <c r="A18" s="3" t="s">
        <v>94</v>
      </c>
      <c r="B18" s="10" t="s">
        <v>71</v>
      </c>
      <c r="C18" s="5" t="s">
        <v>69</v>
      </c>
      <c r="D18" s="8" t="s">
        <v>72</v>
      </c>
      <c r="E18" s="4">
        <v>1</v>
      </c>
      <c r="F18" s="8" t="s">
        <v>14</v>
      </c>
      <c r="G18" s="7">
        <v>0.72650000000000003</v>
      </c>
      <c r="H18" s="7">
        <f t="shared" si="0"/>
        <v>0.72650000000000003</v>
      </c>
    </row>
    <row r="19" spans="1:8" x14ac:dyDescent="0.25">
      <c r="A19" s="3" t="s">
        <v>95</v>
      </c>
      <c r="B19" s="10" t="s">
        <v>68</v>
      </c>
      <c r="C19" s="3" t="s">
        <v>69</v>
      </c>
      <c r="D19" s="8" t="s">
        <v>70</v>
      </c>
      <c r="E19" s="4">
        <v>2</v>
      </c>
      <c r="F19" s="8" t="s">
        <v>67</v>
      </c>
      <c r="G19" s="7">
        <v>0.90820000000000001</v>
      </c>
      <c r="H19" s="7">
        <f t="shared" si="0"/>
        <v>1.8164</v>
      </c>
    </row>
    <row r="20" spans="1:8" x14ac:dyDescent="0.25">
      <c r="A20" s="3" t="s">
        <v>96</v>
      </c>
      <c r="B20" s="10" t="s">
        <v>73</v>
      </c>
      <c r="C20" s="3" t="s">
        <v>69</v>
      </c>
      <c r="D20" s="8" t="s">
        <v>74</v>
      </c>
      <c r="E20" s="4">
        <v>1</v>
      </c>
      <c r="F20" s="8" t="s">
        <v>15</v>
      </c>
      <c r="G20" s="7">
        <v>0.63570000000000004</v>
      </c>
      <c r="H20" s="7">
        <f t="shared" si="0"/>
        <v>0.63570000000000004</v>
      </c>
    </row>
    <row r="21" spans="1:8" x14ac:dyDescent="0.25">
      <c r="A21" s="3" t="s">
        <v>97</v>
      </c>
      <c r="B21" s="10" t="s">
        <v>64</v>
      </c>
      <c r="C21" s="3" t="s">
        <v>65</v>
      </c>
      <c r="D21" s="8" t="s">
        <v>66</v>
      </c>
      <c r="E21" s="4">
        <v>1</v>
      </c>
      <c r="F21" s="8" t="s">
        <v>16</v>
      </c>
      <c r="G21" s="7">
        <v>0.16639999999999999</v>
      </c>
      <c r="H21" s="7">
        <f t="shared" si="0"/>
        <v>0.16639999999999999</v>
      </c>
    </row>
    <row r="22" spans="1:8" x14ac:dyDescent="0.25">
      <c r="A22" s="3" t="s">
        <v>99</v>
      </c>
      <c r="B22" s="10" t="s">
        <v>100</v>
      </c>
      <c r="C22" s="3" t="s">
        <v>101</v>
      </c>
      <c r="D22" s="8" t="s">
        <v>100</v>
      </c>
      <c r="E22" s="4">
        <v>1</v>
      </c>
      <c r="F22" s="8" t="s">
        <v>100</v>
      </c>
      <c r="G22" s="7">
        <v>1</v>
      </c>
      <c r="H22" s="7">
        <f t="shared" si="0"/>
        <v>1</v>
      </c>
    </row>
    <row r="23" spans="1:8" x14ac:dyDescent="0.25">
      <c r="A23" s="16" t="s">
        <v>76</v>
      </c>
      <c r="B23" s="17"/>
      <c r="C23" s="17"/>
      <c r="D23" s="18"/>
      <c r="E23" s="6">
        <f>SUM(E2:E22)</f>
        <v>42</v>
      </c>
      <c r="F23" s="16" t="s">
        <v>77</v>
      </c>
      <c r="G23" s="18"/>
      <c r="H23" s="15">
        <f>SUM(H2:H22)</f>
        <v>9.6597999999999988</v>
      </c>
    </row>
  </sheetData>
  <mergeCells count="2">
    <mergeCell ref="A23:D23"/>
    <mergeCell ref="F23:G23"/>
  </mergeCells>
  <phoneticPr fontId="5" type="noConversion"/>
  <hyperlinks>
    <hyperlink ref="B2" r:id="rId1" display="https://www.digikey.com/en/products/detail/samsung-electro-mechanics/CL10B104KB8NNNL/3894274" xr:uid="{DAE60B7A-8316-4B04-AAEE-313645B4D18E}"/>
    <hyperlink ref="B3" r:id="rId2" display="https://www.digikey.com/en/products/detail/avx-corporation/TPSB107K006R0250/809530" xr:uid="{2A32CF99-3961-462F-8D1E-9C133A545E17}"/>
    <hyperlink ref="B5" r:id="rId3" display="https://www.digikey.com/en/products/detail/avx-corporation/TAJB476K010RNJ/563798" xr:uid="{721AB555-3040-4EAE-9838-53084AA7EE43}"/>
    <hyperlink ref="B6" r:id="rId4" display="https://www.digikey.com/en/products/detail/samsung-electro-mechanics/CL21A106KOQNNNG/3894417" xr:uid="{C35404A8-449C-46CD-AE14-7ABC6782308B}"/>
    <hyperlink ref="B8" r:id="rId5" display="https://www.digikey.com/en/products/detail/yageo/AC0603JR-071KL/5896388" xr:uid="{7516DE73-B942-4356-BAC4-90C7E2C3015E}"/>
    <hyperlink ref="B9" r:id="rId6" display="https://www.digikey.com/en/products/detail/microchip-technology/MIC5353-3-3YMT-TR/2297014" xr:uid="{5CC0D93B-2694-45DB-A73F-800418C73F1B}"/>
    <hyperlink ref="B7" r:id="rId7" display="https://www.digikey.com/en/products/detail/yageo/AC0603JR-0747KL/5896464" xr:uid="{B9115654-31AF-4526-AFFE-B887658E5A92}"/>
    <hyperlink ref="B10" r:id="rId8" display="https://www.digikey.com/en/products/detail/microchip-technology/PIC32MM0064GPM028-I-M6/8037777" xr:uid="{992C8ADE-1BED-4824-B937-1BA06E113E49}"/>
    <hyperlink ref="B11" r:id="rId9" display="https://www.digikey.com/en/products/detail/microchip-technology/PIC16LF18857-I-ML/6098428" xr:uid="{207776C3-180E-439B-8016-82540249DF06}"/>
    <hyperlink ref="B14" r:id="rId10" display="https://www.digikey.com/en/products/detail/w%C3%BCrth-elektronik/150060BS75000/4489895" xr:uid="{EF73AF98-AA23-4CC7-9D63-FE6AD3C62292}"/>
    <hyperlink ref="B13" r:id="rId11" display="https://www.digikey.com/en/products/detail/w%C3%BCrth-elektronik/150060RS75000/4489901" xr:uid="{AAAD9A5F-1D25-4947-BFE2-94E7C141EAFA}"/>
    <hyperlink ref="B12" r:id="rId12" display="https://www.digikey.com/en/products/detail/w%C3%BCrth-elektronik/150060GS75000/4489898" xr:uid="{80414EE5-5FF0-4C33-B8F9-3C7FEADDFC81}"/>
    <hyperlink ref="B15" r:id="rId13" display="https://www.digikey.com/en/products/detail/c-k/PTS815-SJK-250-SMTR-LFS/9947849" xr:uid="{8083FC89-5282-4D29-8BE4-8FA4453DDFB0}"/>
    <hyperlink ref="B16" r:id="rId14" display="https://www.digikey.com/en/products/detail/bourns-inc/MF-MSMF050-2/662816" xr:uid="{DF58D003-B440-4235-B47A-B085760A4A98}"/>
    <hyperlink ref="B17" r:id="rId15" display="https://www.digikey.com/en/products/detail/hirose-electric-co-ltd/ZX62-AB-5PA-31/5983064" xr:uid="{61C364C0-29D9-4CDD-8949-DC20A024B82D}"/>
    <hyperlink ref="B21" r:id="rId16" display="https://www.digikey.com/en/products/detail/harwin-inc/S2751-46R/5250499" xr:uid="{7D554923-78D2-48F9-85AA-7397746124DA}"/>
    <hyperlink ref="B19" r:id="rId17" display="https://www.digikey.com/en/products/detail/samtec-inc/SSQ-110-03-T-S/1111948" xr:uid="{D7A3EE95-CE96-4488-9E55-52F5A50604C9}"/>
    <hyperlink ref="B18" r:id="rId18" display="https://www.digikey.com/en/products/detail/samtec-inc/SSQ-108-03-T-S/1111950" xr:uid="{8A92DADD-A229-4A63-B5BE-4B6C2D8616E7}"/>
    <hyperlink ref="B20" r:id="rId19" display="https://www.digikey.com/en/products/detail/samtec-inc/SSQ-107-03-T-S/1111951" xr:uid="{5817F60E-5B30-4F0B-AA97-F3EE3F1DA375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DŨNG LIÊM PHAN</dc:creator>
  <cp:lastModifiedBy>DŨNG LIÊM PHAN</cp:lastModifiedBy>
  <dcterms:created xsi:type="dcterms:W3CDTF">2020-10-25T17:21:33Z</dcterms:created>
  <dcterms:modified xsi:type="dcterms:W3CDTF">2020-10-27T14:51:03Z</dcterms:modified>
</cp:coreProperties>
</file>