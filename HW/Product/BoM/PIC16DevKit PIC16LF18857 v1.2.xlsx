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SAMPIDevKit\PIC16FDevKit\HW\Product\BoM\"/>
    </mc:Choice>
  </mc:AlternateContent>
  <xr:revisionPtr revIDLastSave="0" documentId="8_{DF36F12B-B031-4DD2-B3FD-5CE99E6F293B}" xr6:coauthVersionLast="46" xr6:coauthVersionMax="46" xr10:uidLastSave="{00000000-0000-0000-0000-000000000000}"/>
  <bookViews>
    <workbookView xWindow="-120" yWindow="-120" windowWidth="20730" windowHeight="11760" xr2:uid="{8DFB5FA4-6649-425C-B621-EA7012EA3D45}"/>
  </bookViews>
  <sheets>
    <sheet name="B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B2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<sst xmlns="http://schemas.openxmlformats.org/spreadsheetml/2006/main" count="74" uniqueCount="73">
  <si>
    <t>Quantity</t>
  </si>
  <si>
    <t>References</t>
  </si>
  <si>
    <t>Stock Code</t>
  </si>
  <si>
    <t>Description</t>
  </si>
  <si>
    <t>Unit Cost</t>
  </si>
  <si>
    <t>C1,C2,C5</t>
  </si>
  <si>
    <t>CAP CER 10UF 6.3V X5R 0805</t>
  </si>
  <si>
    <t>C3,C4,C6,C8,C9,C11,C13</t>
  </si>
  <si>
    <t>CAP CER 0.1UF 50V X7R 0603</t>
  </si>
  <si>
    <t>C7,C10,C12</t>
  </si>
  <si>
    <t>CAP CER 1UF 25V X5R 0603</t>
  </si>
  <si>
    <t>R1,R9</t>
  </si>
  <si>
    <t>RES SMD 4.7K OHM 5% 1/10W 0603</t>
  </si>
  <si>
    <t>R2,R3,R4,R8</t>
  </si>
  <si>
    <t>RES SMD 10K OHM 5% 1/10W 0603</t>
  </si>
  <si>
    <t>R5,R7,R10</t>
  </si>
  <si>
    <t>RES SMD 1K OHM 5% 1/10W 0603</t>
  </si>
  <si>
    <t>R6</t>
  </si>
  <si>
    <t>RES SMD 2.2K OHM 5% 1/10W 0603</t>
  </si>
  <si>
    <t>U1</t>
  </si>
  <si>
    <t>IC REG LINEAR 3.3V 300MA SOT23-5</t>
  </si>
  <si>
    <t>U2</t>
  </si>
  <si>
    <t>IC MCU 32BIT 64KB FLASH 28UQFN</t>
  </si>
  <si>
    <t>U3</t>
  </si>
  <si>
    <t>IC MCU 8BIT 56KB FLASH 28QFN</t>
  </si>
  <si>
    <t>D1</t>
  </si>
  <si>
    <t>0603 RED SMD LED</t>
  </si>
  <si>
    <t>D2</t>
  </si>
  <si>
    <t>0603 BLUE SMD LED</t>
  </si>
  <si>
    <t>D3</t>
  </si>
  <si>
    <t>0603 GREEN SMD LED</t>
  </si>
  <si>
    <t>TACT 4.2 X 3.2, 2.5 MM H, 250GF</t>
  </si>
  <si>
    <t>F1</t>
  </si>
  <si>
    <t>PTC RESET FUSE 16V 500MA 1812</t>
  </si>
  <si>
    <t>J1</t>
  </si>
  <si>
    <t>CONN RCPT USB2.0 MICRO B SMD R/A</t>
  </si>
  <si>
    <t>J3</t>
  </si>
  <si>
    <t>PCB SOCKET, SINGLE ROW, 8 PIN, S</t>
  </si>
  <si>
    <t>PCB SOCKET, SINGLE ROW, 10 PIN,</t>
  </si>
  <si>
    <t>J6</t>
  </si>
  <si>
    <t>PCB SOCKET, SINGLE ROW, 7 PIN, S</t>
  </si>
  <si>
    <t>TP4</t>
  </si>
  <si>
    <t>PC TEST POINT NATURAL</t>
  </si>
  <si>
    <t>No</t>
  </si>
  <si>
    <t>1</t>
  </si>
  <si>
    <t>2</t>
  </si>
  <si>
    <t>3</t>
  </si>
  <si>
    <t>BT1, BT2</t>
  </si>
  <si>
    <t>J4, J5</t>
  </si>
  <si>
    <t>Sub Cost</t>
  </si>
  <si>
    <t>Summary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</si>
  <si>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</si>
  <si>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</si>
  <si>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</si>
  <si>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</si>
  <si>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</si>
  <si>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</si>
  <si>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</si>
  <si>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</si>
  <si>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</si>
  <si>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</si>
  <si>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</si>
  <si>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</si>
  <si>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</si>
  <si>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</si>
  <si>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</si>
  <si>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</si>
  <si>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</si>
  <si>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</si>
  <si>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PCB</t>
  </si>
  <si>
    <t>69x54x1.6MM, Single pieces, 2 Layers, FR4, Green, White, HASL, 1oz</t>
  </si>
  <si>
    <t>VAT 10%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</si>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</sst>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1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934E-AFCD-49D8-8AB7-922EC24C8B40}">
  <dimension ref="A1:G24"/>
  <sheetViews>
    <sheetView tabSelected="1" workbookViewId="0">
      <selection activeCell="J8" sqref="J8"/>
    </sheetView>
  </sheetViews>
  <sheetFormatPr defaultRowHeight="15" x14ac:dyDescent="0.25"/>
  <cols>
    <col min="1" max="2" width="9" style="3" bestFit="1" customWidth="1"/>
    <col min="3" max="3" width="23" style="3" bestFit="1" customWidth="1"/>
    <col min="4" max="4" width="27.140625" style="3" bestFit="1" customWidth="1"/>
    <col min="5" max="5" width="62.42578125" style="3" bestFit="1" customWidth="1"/>
    <col min="6" max="6" width="10" style="3" bestFit="1" customWidth="1"/>
    <col min="7" max="7" width="10.140625" style="3" bestFit="1" customWidth="1"/>
    <col min="8" max="16384" width="9.140625" style="3"/>
  </cols>
  <sheetData>
    <row r="1" spans="1:7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49</v>
      </c>
    </row>
    <row r="2" spans="1:7" x14ac:dyDescent="0.25">
      <c r="A2" s="4" t="s">
        <v>44</v>
      </c>
      <c r="B2" s="5">
        <v>3</v>
      </c>
      <c r="C2" s="14" t="s">
        <v>5</v>
      </c>
      <c r="D2" s="15" t="str">
        <f>HYPERLINK("https://www.digikey.com/en/products/detail/samsung-electro-mechanics/CL21A106KQCLNNC/3888062","CL21A106KQCLNNC")</f>
        <v>CL21A106KQCLNNC</v>
      </c>
      <c r="E2" s="14" t="s">
        <v>6</v>
      </c>
      <c r="F2" s="12">
        <v>2.155E-2</v>
      </c>
      <c r="G2" s="12">
        <f>PRODUCT(B2,F2)</f>
        <v>6.4649999999999999E-2</v>
      </c>
    </row>
    <row r="3" spans="1:7" x14ac:dyDescent="0.25">
      <c r="A3" s="4" t="s">
        <v>45</v>
      </c>
      <c r="B3" s="5">
        <v>7</v>
      </c>
      <c r="C3" s="14" t="s">
        <v>7</v>
      </c>
      <c r="D3" s="15" t="str">
        <f>HYPERLINK("https://www.digikey.com/en/products/detail/samsung-electro-mechanics/CL10B104KB8NNNL/3894274","CL10B104KB8NNNL")</f>
        <v>CL10B104KB8NNNL</v>
      </c>
      <c r="E3" s="14" t="s">
        <v>8</v>
      </c>
      <c r="F3" s="12">
        <v>7.3200000000000001E-3</v>
      </c>
      <c r="G3" s="12">
        <f t="shared" ref="G3:G22" si="0">PRODUCT(B3,F3)</f>
        <v>5.1240000000000001E-2</v>
      </c>
    </row>
    <row r="4" spans="1:7" x14ac:dyDescent="0.25">
      <c r="A4" s="4" t="s">
        <v>46</v>
      </c>
      <c r="B4" s="5">
        <v>3</v>
      </c>
      <c r="C4" s="14" t="s">
        <v>9</v>
      </c>
      <c r="D4" s="15" t="str">
        <f>HYPERLINK("https://www.digikey.com/en/products/detail/samsung-electro-mechanics/CL10A105KA8NNNC/3886760","CL10A105KA8NNNC")</f>
        <v>CL10A105KA8NNNC</v>
      </c>
      <c r="E4" s="14" t="s">
        <v>10</v>
      </c>
      <c r="F4" s="12">
        <v>8.4700000000000001E-3</v>
      </c>
      <c r="G4" s="12">
        <f t="shared" si="0"/>
        <v>2.5410000000000002E-2</v>
      </c>
    </row>
    <row r="5" spans="1:7" x14ac:dyDescent="0.25">
      <c r="A5" s="4" t="s">
        <v>51</v>
      </c>
      <c r="B5" s="5">
        <v>2</v>
      </c>
      <c r="C5" s="14" t="s">
        <v>11</v>
      </c>
      <c r="D5" s="15" t="str">
        <f>HYPERLINK("https://www.digikey.com/en/products/detail/yageo/RC0603JR-074K7L/726785","RC0603JR-074K7L")</f>
        <v>RC0603JR-074K7L</v>
      </c>
      <c r="E5" s="14" t="s">
        <v>12</v>
      </c>
      <c r="F5" s="12">
        <v>3.13E-3</v>
      </c>
      <c r="G5" s="12">
        <f t="shared" si="0"/>
        <v>6.2599999999999999E-3</v>
      </c>
    </row>
    <row r="6" spans="1:7" x14ac:dyDescent="0.25">
      <c r="A6" s="4" t="s">
        <v>52</v>
      </c>
      <c r="B6" s="5">
        <v>4</v>
      </c>
      <c r="C6" s="14" t="s">
        <v>13</v>
      </c>
      <c r="D6" s="15" t="str">
        <f>HYPERLINK("https://www.digikey.com/en/products/detail/yageo/AC0603JR-0710KL/2827830","AC0603JR-0710KL")</f>
        <v>AC0603JR-0710KL</v>
      </c>
      <c r="E6" s="14" t="s">
        <v>14</v>
      </c>
      <c r="F6" s="12">
        <v>3.79E-3</v>
      </c>
      <c r="G6" s="12">
        <f t="shared" si="0"/>
        <v>1.516E-2</v>
      </c>
    </row>
    <row r="7" spans="1:7" x14ac:dyDescent="0.25">
      <c r="A7" s="4" t="s">
        <v>53</v>
      </c>
      <c r="B7" s="5">
        <v>3</v>
      </c>
      <c r="C7" s="14" t="s">
        <v>15</v>
      </c>
      <c r="D7" s="15" t="str">
        <f>HYPERLINK("https://www.digikey.com/en/products/detail/yageo/AC0603JR-071KL/5896388","AC0603JR-071KL")</f>
        <v>AC0603JR-071KL</v>
      </c>
      <c r="E7" s="14" t="s">
        <v>16</v>
      </c>
      <c r="F7" s="12">
        <v>3.79E-3</v>
      </c>
      <c r="G7" s="12">
        <f t="shared" si="0"/>
        <v>1.137E-2</v>
      </c>
    </row>
    <row r="8" spans="1:7" x14ac:dyDescent="0.25">
      <c r="A8" s="4" t="s">
        <v>54</v>
      </c>
      <c r="B8" s="5">
        <v>1</v>
      </c>
      <c r="C8" s="14" t="s">
        <v>17</v>
      </c>
      <c r="D8" s="15" t="str">
        <f>HYPERLINK("https://www.digikey.com/en/products/detail/yageo/RC0603JR-072K2L/726729","RC0603JR-072K2L")</f>
        <v>RC0603JR-072K2L</v>
      </c>
      <c r="E8" s="14" t="s">
        <v>18</v>
      </c>
      <c r="F8" s="12">
        <v>3.13E-3</v>
      </c>
      <c r="G8" s="12">
        <f t="shared" si="0"/>
        <v>3.13E-3</v>
      </c>
    </row>
    <row r="9" spans="1:7" x14ac:dyDescent="0.25">
      <c r="A9" s="4" t="s">
        <v>55</v>
      </c>
      <c r="B9" s="5">
        <v>1</v>
      </c>
      <c r="C9" s="14" t="s">
        <v>19</v>
      </c>
      <c r="D9" s="15" t="str">
        <f>HYPERLINK("https://www.digikey.com/en/products/detail/richtek-usa-inc/RT9193-33GB/2470048","RT9193-33GB")</f>
        <v>RT9193-33GB</v>
      </c>
      <c r="E9" s="14" t="s">
        <v>20</v>
      </c>
      <c r="F9" s="12">
        <v>0.18894</v>
      </c>
      <c r="G9" s="12">
        <f t="shared" si="0"/>
        <v>0.18894</v>
      </c>
    </row>
    <row r="10" spans="1:7" x14ac:dyDescent="0.25">
      <c r="A10" s="4" t="s">
        <v>56</v>
      </c>
      <c r="B10" s="5">
        <v>1</v>
      </c>
      <c r="C10" s="14" t="s">
        <v>21</v>
      </c>
      <c r="D10" s="15" t="str">
        <f>HYPERLINK("https://www.digikey.com/en/products/detail/microchip-technology/PIC32MM0064GPM028-I-M6/8037777","PIC32MM0064GPM028-I/M6")</f>
        <v>PIC32MM0064GPM028-I/M6</v>
      </c>
      <c r="E10" s="14" t="s">
        <v>22</v>
      </c>
      <c r="F10" s="12">
        <v>1.6830000000000001</v>
      </c>
      <c r="G10" s="12">
        <f t="shared" si="0"/>
        <v>1.6830000000000001</v>
      </c>
    </row>
    <row r="11" spans="1:7" x14ac:dyDescent="0.25">
      <c r="A11" s="4" t="s">
        <v>57</v>
      </c>
      <c r="B11" s="5">
        <v>1</v>
      </c>
      <c r="C11" s="14" t="s">
        <v>23</v>
      </c>
      <c r="D11" s="15" t="str">
        <f>HYPERLINK("https://www.digikey.com/en/products/detail/microchip-technology/PIC16LF18857-I-ML/6098428","PIC16LF18857-I/ML")</f>
        <v>PIC16LF18857-I/ML</v>
      </c>
      <c r="E11" s="14" t="s">
        <v>24</v>
      </c>
      <c r="F11" s="12">
        <v>1.3420000000000001</v>
      </c>
      <c r="G11" s="12">
        <f t="shared" si="0"/>
        <v>1.3420000000000001</v>
      </c>
    </row>
    <row r="12" spans="1:7" x14ac:dyDescent="0.25">
      <c r="A12" s="4" t="s">
        <v>58</v>
      </c>
      <c r="B12" s="5">
        <v>1</v>
      </c>
      <c r="C12" s="14" t="s">
        <v>25</v>
      </c>
      <c r="D12" s="15" t="str">
        <f>HYPERLINK("https://www.digikey.com/en/products/detail/american-opto-plus-led/L196L-LIC/12325457","L196L-LIC")</f>
        <v>L196L-LIC</v>
      </c>
      <c r="E12" s="14" t="s">
        <v>26</v>
      </c>
      <c r="F12" s="12">
        <v>4.2999999999999997E-2</v>
      </c>
      <c r="G12" s="12">
        <f t="shared" si="0"/>
        <v>4.2999999999999997E-2</v>
      </c>
    </row>
    <row r="13" spans="1:7" x14ac:dyDescent="0.25">
      <c r="A13" s="4" t="s">
        <v>59</v>
      </c>
      <c r="B13" s="5">
        <v>1</v>
      </c>
      <c r="C13" s="14" t="s">
        <v>27</v>
      </c>
      <c r="D13" s="15" t="str">
        <f>HYPERLINK("https://www.digikey.com/en/products/detail/american-opto-plus-led/L196L-QBC/12325436","L196L-QBC")</f>
        <v>L196L-QBC</v>
      </c>
      <c r="E13" s="14" t="s">
        <v>28</v>
      </c>
      <c r="F13" s="12">
        <v>5.2999999999999999E-2</v>
      </c>
      <c r="G13" s="12">
        <f t="shared" si="0"/>
        <v>5.2999999999999999E-2</v>
      </c>
    </row>
    <row r="14" spans="1:7" x14ac:dyDescent="0.25">
      <c r="A14" s="4" t="s">
        <v>60</v>
      </c>
      <c r="B14" s="5">
        <v>1</v>
      </c>
      <c r="C14" s="14" t="s">
        <v>29</v>
      </c>
      <c r="D14" s="15" t="str">
        <f>HYPERLINK("https://www.digikey.com/en/products/detail/american-opto-plus-led/L196L-SGC/12325416","L196L-SGC")</f>
        <v>L196L-SGC</v>
      </c>
      <c r="E14" s="14" t="s">
        <v>30</v>
      </c>
      <c r="F14" s="12">
        <v>4.2999999999999997E-2</v>
      </c>
      <c r="G14" s="12">
        <f t="shared" si="0"/>
        <v>4.2999999999999997E-2</v>
      </c>
    </row>
    <row r="15" spans="1:7" x14ac:dyDescent="0.25">
      <c r="A15" s="4" t="s">
        <v>61</v>
      </c>
      <c r="B15" s="5">
        <v>2</v>
      </c>
      <c r="C15" s="14" t="s">
        <v>47</v>
      </c>
      <c r="D15" s="15" t="str">
        <f>HYPERLINK("https://www.digikey.com/en/products/detail/c-k/PTS815-SJK-250-SMTR-LFS/9947849","PTS815 SJK 250 SMTR LFS")</f>
        <v>PTS815 SJK 250 SMTR LFS</v>
      </c>
      <c r="E15" s="14" t="s">
        <v>31</v>
      </c>
      <c r="F15" s="12">
        <v>0.11362999999999999</v>
      </c>
      <c r="G15" s="12">
        <f t="shared" si="0"/>
        <v>0.22725999999999999</v>
      </c>
    </row>
    <row r="16" spans="1:7" x14ac:dyDescent="0.25">
      <c r="A16" s="4" t="s">
        <v>62</v>
      </c>
      <c r="B16" s="5">
        <v>1</v>
      </c>
      <c r="C16" s="14" t="s">
        <v>32</v>
      </c>
      <c r="D16" s="15" t="str">
        <f>HYPERLINK("https://www.digikey.com/en/products/detail/bel-fuse-inc/0ZCG0050FF2C/4156296","0ZCG0050FF2C")</f>
        <v>0ZCG0050FF2C</v>
      </c>
      <c r="E16" s="14" t="s">
        <v>33</v>
      </c>
      <c r="F16" s="12">
        <v>9.3100000000000002E-2</v>
      </c>
      <c r="G16" s="12">
        <f t="shared" si="0"/>
        <v>9.3100000000000002E-2</v>
      </c>
    </row>
    <row r="17" spans="1:7" x14ac:dyDescent="0.25">
      <c r="A17" s="4" t="s">
        <v>63</v>
      </c>
      <c r="B17" s="5">
        <v>1</v>
      </c>
      <c r="C17" s="14" t="s">
        <v>34</v>
      </c>
      <c r="D17" s="15" t="str">
        <f>HYPERLINK("https://www.digikey.com/en/products/detail/amphenol-icc-fci/10118192-0002LF/6817756","10118192-0002LF")</f>
        <v>10118192-0002LF</v>
      </c>
      <c r="E17" s="14" t="s">
        <v>35</v>
      </c>
      <c r="F17" s="12">
        <v>0.24906</v>
      </c>
      <c r="G17" s="12">
        <f t="shared" si="0"/>
        <v>0.24906</v>
      </c>
    </row>
    <row r="18" spans="1:7" x14ac:dyDescent="0.25">
      <c r="A18" s="4" t="s">
        <v>64</v>
      </c>
      <c r="B18" s="5">
        <v>1</v>
      </c>
      <c r="C18" s="14" t="s">
        <v>36</v>
      </c>
      <c r="D18" s="15" t="str">
        <f>HYPERLINK("https://www.digikey.com/en/products/detail/oupiin/2044-1X08G00SA/13251767","2044-1X08G00SA")</f>
        <v>2044-1X08G00SA</v>
      </c>
      <c r="E18" s="14" t="s">
        <v>37</v>
      </c>
      <c r="F18" s="12">
        <v>0.2374</v>
      </c>
      <c r="G18" s="12">
        <f t="shared" si="0"/>
        <v>0.2374</v>
      </c>
    </row>
    <row r="19" spans="1:7" x14ac:dyDescent="0.25">
      <c r="A19" s="4" t="s">
        <v>65</v>
      </c>
      <c r="B19" s="5">
        <v>2</v>
      </c>
      <c r="C19" s="14" t="s">
        <v>48</v>
      </c>
      <c r="D19" s="15" t="str">
        <f>HYPERLINK("https://www.digikey.com/en/products/detail/oupiin/2044-1X10G00SA/13251578","2044-1X10G00SA")</f>
        <v>2044-1X10G00SA</v>
      </c>
      <c r="E19" s="14" t="s">
        <v>38</v>
      </c>
      <c r="F19" s="12">
        <v>0.24</v>
      </c>
      <c r="G19" s="12">
        <f t="shared" si="0"/>
        <v>0.48</v>
      </c>
    </row>
    <row r="20" spans="1:7" x14ac:dyDescent="0.25">
      <c r="A20" s="4" t="s">
        <v>66</v>
      </c>
      <c r="B20" s="5">
        <v>1</v>
      </c>
      <c r="C20" s="14" t="s">
        <v>39</v>
      </c>
      <c r="D20" s="15" t="str">
        <f>HYPERLINK("https://www.digikey.com/en/products/detail/oupiin/2044-1X07G00SA/13251939","2044-1X07G00SA")</f>
        <v>2044-1X07G00SA</v>
      </c>
      <c r="E20" s="14" t="s">
        <v>40</v>
      </c>
      <c r="F20" s="12">
        <v>0.22</v>
      </c>
      <c r="G20" s="12">
        <f t="shared" si="0"/>
        <v>0.22</v>
      </c>
    </row>
    <row r="21" spans="1:7" x14ac:dyDescent="0.25">
      <c r="A21" s="4" t="s">
        <v>67</v>
      </c>
      <c r="B21" s="5">
        <v>1</v>
      </c>
      <c r="C21" s="14" t="s">
        <v>41</v>
      </c>
      <c r="D21" s="15" t="str">
        <f>HYPERLINK("https://www.digikey.com/en/products/detail/te-connectivity-amp-connectors/RCT-0C/2366050","RCT-0C")</f>
        <v>RCT-0C</v>
      </c>
      <c r="E21" s="14" t="s">
        <v>42</v>
      </c>
      <c r="F21" s="12">
        <v>0.11069</v>
      </c>
      <c r="G21" s="12">
        <f t="shared" si="0"/>
        <v>0.11069</v>
      </c>
    </row>
    <row r="22" spans="1:7" x14ac:dyDescent="0.25">
      <c r="A22" s="4" t="s">
        <v>68</v>
      </c>
      <c r="B22" s="5">
        <v>1</v>
      </c>
      <c r="C22" s="14" t="s">
        <v>69</v>
      </c>
      <c r="D22" s="15" t="s">
        <v>69</v>
      </c>
      <c r="E22" s="14" t="s">
        <v>70</v>
      </c>
      <c r="F22" s="12">
        <v>0.94</v>
      </c>
      <c r="G22" s="12">
        <f t="shared" si="0"/>
        <v>0.94</v>
      </c>
    </row>
    <row r="23" spans="1:7" x14ac:dyDescent="0.25">
      <c r="A23" s="7" t="s">
        <v>50</v>
      </c>
      <c r="B23" s="10">
        <f>SUM(B2:B22)</f>
        <v>39</v>
      </c>
      <c r="C23" s="4"/>
      <c r="D23" s="8"/>
      <c r="E23" s="4"/>
      <c r="F23" s="4" t="s">
        <v>72</v>
      </c>
      <c r="G23" s="12">
        <f>SUM(G2:G22)</f>
        <v>6.087670000000001</v>
      </c>
    </row>
    <row r="24" spans="1:7" x14ac:dyDescent="0.25">
      <c r="A24" s="9"/>
      <c r="B24" s="11"/>
      <c r="C24" s="6"/>
      <c r="D24" s="6"/>
      <c r="E24" s="6"/>
      <c r="F24" s="6" t="s">
        <v>71</v>
      </c>
      <c r="G24" s="13">
        <f>G23*1.1</f>
        <v>6.6964370000000013</v>
      </c>
    </row>
  </sheetData>
  <mergeCells count="2">
    <mergeCell ref="A23:A24"/>
    <mergeCell ref="B23:B2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DŨNG LIÊM PHAN</dc:creator>
  <cp:lastModifiedBy>DŨNG LIÊM PHAN</cp:lastModifiedBy>
  <dcterms:created xsi:type="dcterms:W3CDTF">2021-02-04T15:31:20Z</dcterms:created>
  <dcterms:modified xsi:type="dcterms:W3CDTF">2021-02-04T15:53:43Z</dcterms:modified>
</cp:coreProperties>
</file>